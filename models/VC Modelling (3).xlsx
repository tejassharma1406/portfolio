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Claude Cache" sheetId="2" r:id="rId6"/>
  </sheets>
  <definedNames/>
  <calcPr/>
</workbook>
</file>

<file path=xl/sharedStrings.xml><?xml version="1.0" encoding="utf-8"?>
<sst xmlns="http://schemas.openxmlformats.org/spreadsheetml/2006/main" count="94" uniqueCount="54">
  <si>
    <t xml:space="preserve">Tejas Ventures Inc. </t>
  </si>
  <si>
    <t>Post-Money Valuation</t>
  </si>
  <si>
    <t>Pre-Money Valuation</t>
  </si>
  <si>
    <t>Convertible Note Terms</t>
  </si>
  <si>
    <t>Common</t>
  </si>
  <si>
    <t>Amount</t>
  </si>
  <si>
    <t>Discount</t>
  </si>
  <si>
    <t>Time</t>
  </si>
  <si>
    <t>Rate</t>
  </si>
  <si>
    <t>Valuation</t>
  </si>
  <si>
    <t>Series Seed Cost</t>
  </si>
  <si>
    <t>Series C Shares</t>
  </si>
  <si>
    <t>Anti Dulation Shares</t>
  </si>
  <si>
    <t>Total Shares</t>
  </si>
  <si>
    <t>Fully Diluted Ownership</t>
  </si>
  <si>
    <t>Share Price:</t>
  </si>
  <si>
    <t>Founders:</t>
  </si>
  <si>
    <t>CEO</t>
  </si>
  <si>
    <t>CTO</t>
  </si>
  <si>
    <t>COO</t>
  </si>
  <si>
    <t>Conertible Debt Investors:</t>
  </si>
  <si>
    <t>CD Angel</t>
  </si>
  <si>
    <t>Series Seed Investors:</t>
  </si>
  <si>
    <t>Lead Angel</t>
  </si>
  <si>
    <t>Employees:</t>
  </si>
  <si>
    <t>Remaining Series Seed Options</t>
  </si>
  <si>
    <t>Method of Convertible Note Share Issuance</t>
  </si>
  <si>
    <t>Series Seed Share Price Calculation</t>
  </si>
  <si>
    <t>Founder Shares</t>
  </si>
  <si>
    <t>Fixed Pre Money</t>
  </si>
  <si>
    <t>Pre-Money Method</t>
  </si>
  <si>
    <t xml:space="preserve">Fixed Post Money </t>
  </si>
  <si>
    <t>% Ownership Method</t>
  </si>
  <si>
    <t>Invested Funds</t>
  </si>
  <si>
    <t>Is Post Money + P&amp;I from Notes</t>
  </si>
  <si>
    <t>$ Invested Method</t>
  </si>
  <si>
    <t>Series Seed Ownership</t>
  </si>
  <si>
    <t>Pre-Money</t>
  </si>
  <si>
    <t xml:space="preserve">Post Money Option Pool </t>
  </si>
  <si>
    <t>Post Money Founder %</t>
  </si>
  <si>
    <t>Total Shares Post Financing</t>
  </si>
  <si>
    <t xml:space="preserve">Founder Shares </t>
  </si>
  <si>
    <t>Investor Shares</t>
  </si>
  <si>
    <t xml:space="preserve">Option Pool Shares </t>
  </si>
  <si>
    <t>Share Price Calculation</t>
  </si>
  <si>
    <t>Valuation Cap Calculations</t>
  </si>
  <si>
    <t>P+I/(Cap + Funds Invested)</t>
  </si>
  <si>
    <t>Shares Per Method</t>
  </si>
  <si>
    <t xml:space="preserve">Discounted Share Price </t>
  </si>
  <si>
    <t>P+I/Discounted Share Price</t>
  </si>
  <si>
    <t>⚠️ SHEET RESERVED FOR =CLAUDE... FUNCTIONS. DO NOT EDIT! ⚠️</t>
  </si>
  <si>
    <t>Key</t>
  </si>
  <si>
    <t>Value</t>
  </si>
  <si>
    <t>Expiration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</si>
</sst>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00,000"/>
    <numFmt numFmtId="166" formatCode="000,00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Font="1" applyNumberFormat="1"/>
    <xf borderId="0" fillId="2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0" fontId="1" numFmtId="0" xfId="0" applyBorder="1" applyFont="1"/>
    <xf borderId="2" fillId="0" fontId="1" numFmtId="164" xfId="0" applyBorder="1" applyFont="1" applyNumberFormat="1"/>
    <xf borderId="3" fillId="0" fontId="1" numFmtId="0" xfId="0" applyBorder="1" applyFont="1"/>
    <xf borderId="2" fillId="3" fontId="1" numFmtId="4" xfId="0" applyAlignment="1" applyBorder="1" applyFill="1" applyFont="1" applyNumberFormat="1">
      <alignment readingOrder="0"/>
    </xf>
    <xf borderId="3" fillId="4" fontId="1" numFmtId="10" xfId="0" applyBorder="1" applyFill="1" applyFont="1" applyNumberFormat="1"/>
    <xf borderId="4" fillId="4" fontId="1" numFmtId="10" xfId="0" applyBorder="1" applyFont="1" applyNumberFormat="1"/>
    <xf borderId="3" fillId="5" fontId="1" numFmtId="4" xfId="0" applyAlignment="1" applyBorder="1" applyFill="1" applyFont="1" applyNumberFormat="1">
      <alignment readingOrder="0"/>
    </xf>
    <xf borderId="5" fillId="0" fontId="1" numFmtId="10" xfId="0" applyBorder="1" applyFont="1" applyNumberFormat="1"/>
    <xf borderId="3" fillId="3" fontId="1" numFmtId="4" xfId="0" applyAlignment="1" applyBorder="1" applyFont="1" applyNumberFormat="1">
      <alignment readingOrder="0"/>
    </xf>
    <xf borderId="6" fillId="3" fontId="1" numFmtId="4" xfId="0" applyAlignment="1" applyBorder="1" applyFont="1" applyNumberFormat="1">
      <alignment readingOrder="0"/>
    </xf>
    <xf borderId="3" fillId="5" fontId="1" numFmtId="4" xfId="0" applyBorder="1" applyFont="1" applyNumberFormat="1"/>
    <xf borderId="3" fillId="4" fontId="1" numFmtId="0" xfId="0" applyBorder="1" applyFont="1"/>
    <xf borderId="3" fillId="5" fontId="1" numFmtId="0" xfId="0" applyBorder="1" applyFont="1"/>
    <xf borderId="1" fillId="3" fontId="1" numFmtId="3" xfId="0" applyAlignment="1" applyBorder="1" applyFont="1" applyNumberFormat="1">
      <alignment readingOrder="0"/>
    </xf>
    <xf borderId="1" fillId="3" fontId="1" numFmtId="9" xfId="0" applyAlignment="1" applyBorder="1" applyFont="1" applyNumberFormat="1">
      <alignment readingOrder="0"/>
    </xf>
    <xf borderId="1" fillId="3" fontId="1" numFmtId="0" xfId="0" applyAlignment="1" applyBorder="1" applyFont="1">
      <alignment readingOrder="0"/>
    </xf>
    <xf borderId="3" fillId="0" fontId="1" numFmtId="4" xfId="0" applyBorder="1" applyFont="1" applyNumberFormat="1"/>
    <xf borderId="5" fillId="4" fontId="1" numFmtId="2" xfId="0" applyBorder="1" applyFont="1" applyNumberFormat="1"/>
    <xf borderId="3" fillId="5" fontId="1" numFmtId="2" xfId="0" applyBorder="1" applyFont="1" applyNumberFormat="1"/>
    <xf borderId="3" fillId="4" fontId="1" numFmtId="3" xfId="0" applyAlignment="1" applyBorder="1" applyFont="1" applyNumberFormat="1">
      <alignment readingOrder="0"/>
    </xf>
    <xf borderId="4" fillId="0" fontId="1" numFmtId="0" xfId="0" applyBorder="1" applyFont="1"/>
    <xf borderId="4" fillId="5" fontId="1" numFmtId="4" xfId="0" applyAlignment="1" applyBorder="1" applyFont="1" applyNumberFormat="1">
      <alignment readingOrder="0"/>
    </xf>
    <xf borderId="1" fillId="3" fontId="1" numFmtId="4" xfId="0" applyAlignment="1" applyBorder="1" applyFont="1" applyNumberFormat="1">
      <alignment readingOrder="0"/>
    </xf>
    <xf borderId="3" fillId="4" fontId="1" numFmtId="2" xfId="0" applyBorder="1" applyFont="1" applyNumberFormat="1"/>
    <xf borderId="3" fillId="0" fontId="1" numFmtId="2" xfId="0" applyBorder="1" applyFont="1" applyNumberFormat="1"/>
    <xf borderId="6" fillId="0" fontId="1" numFmtId="0" xfId="0" applyBorder="1" applyFont="1"/>
    <xf borderId="5" fillId="0" fontId="1" numFmtId="0" xfId="0" applyBorder="1" applyFont="1"/>
    <xf borderId="1" fillId="0" fontId="1" numFmtId="4" xfId="0" applyBorder="1" applyFont="1" applyNumberFormat="1"/>
    <xf borderId="1" fillId="0" fontId="1" numFmtId="165" xfId="0" applyBorder="1" applyFont="1" applyNumberFormat="1"/>
    <xf borderId="1" fillId="0" fontId="1" numFmtId="0" xfId="0" applyBorder="1" applyFont="1"/>
    <xf borderId="6" fillId="0" fontId="1" numFmtId="4" xfId="0" applyBorder="1" applyFont="1" applyNumberFormat="1"/>
    <xf borderId="1" fillId="0" fontId="1" numFmtId="10" xfId="0" applyBorder="1" applyFont="1" applyNumberFormat="1"/>
    <xf borderId="0" fillId="0" fontId="1" numFmtId="0" xfId="0" applyAlignment="1" applyFont="1">
      <alignment horizontal="center" readingOrder="0"/>
    </xf>
    <xf borderId="7" fillId="0" fontId="1" numFmtId="0" xfId="0" applyAlignment="1" applyBorder="1" applyFont="1">
      <alignment readingOrder="0"/>
    </xf>
    <xf borderId="8" fillId="0" fontId="1" numFmtId="4" xfId="0" applyBorder="1" applyFont="1" applyNumberFormat="1"/>
    <xf borderId="0" fillId="3" fontId="1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5" fillId="0" fontId="1" numFmtId="165" xfId="0" applyBorder="1" applyFont="1" applyNumberFormat="1"/>
    <xf borderId="5" fillId="0" fontId="1" numFmtId="3" xfId="0" applyBorder="1" applyFont="1" applyNumberFormat="1"/>
    <xf borderId="9" fillId="0" fontId="1" numFmtId="0" xfId="0" applyAlignment="1" applyBorder="1" applyFont="1">
      <alignment horizontal="center" readingOrder="0"/>
    </xf>
    <xf borderId="10" fillId="0" fontId="2" numFmtId="0" xfId="0" applyBorder="1" applyFont="1"/>
    <xf borderId="10" fillId="0" fontId="1" numFmtId="0" xfId="0" applyAlignment="1" applyBorder="1" applyFont="1">
      <alignment horizontal="center" readingOrder="0"/>
    </xf>
    <xf borderId="11" fillId="0" fontId="2" numFmtId="0" xfId="0" applyBorder="1" applyFont="1"/>
    <xf borderId="5" fillId="0" fontId="1" numFmtId="4" xfId="0" applyBorder="1" applyFont="1" applyNumberFormat="1"/>
    <xf borderId="5" fillId="0" fontId="1" numFmtId="4" xfId="0" applyAlignment="1" applyBorder="1" applyFont="1" applyNumberFormat="1">
      <alignment readingOrder="0"/>
    </xf>
    <xf borderId="5" fillId="0" fontId="1" numFmtId="3" xfId="0" applyAlignment="1" applyBorder="1" applyFont="1" applyNumberFormat="1">
      <alignment readingOrder="0"/>
    </xf>
    <xf borderId="5" fillId="0" fontId="1" numFmtId="166" xfId="0" applyBorder="1" applyFont="1" applyNumberFormat="1"/>
    <xf borderId="5" fillId="0" fontId="1" numFmtId="9" xfId="0" applyBorder="1" applyFont="1" applyNumberFormat="1"/>
    <xf borderId="5" fillId="0" fontId="1" numFmtId="9" xfId="0" applyAlignment="1" applyBorder="1" applyFont="1" applyNumberFormat="1">
      <alignment readingOrder="0"/>
    </xf>
    <xf borderId="12" fillId="0" fontId="1" numFmtId="0" xfId="0" applyAlignment="1" applyBorder="1" applyFont="1">
      <alignment readingOrder="0"/>
    </xf>
    <xf borderId="13" fillId="0" fontId="1" numFmtId="4" xfId="0" applyBorder="1" applyFont="1" applyNumberFormat="1"/>
    <xf borderId="13" fillId="0" fontId="1" numFmtId="164" xfId="0" applyBorder="1" applyFont="1" applyNumberFormat="1"/>
    <xf borderId="14" fillId="0" fontId="1" numFmtId="10" xfId="0" applyBorder="1" applyFont="1" applyNumberFormat="1"/>
    <xf borderId="14" fillId="0" fontId="1" numFmtId="0" xfId="0" applyBorder="1" applyFont="1"/>
    <xf borderId="8" fillId="0" fontId="1" numFmtId="10" xfId="0" applyBorder="1" applyFont="1" applyNumberFormat="1"/>
    <xf borderId="0" fillId="0" fontId="1" numFmtId="2" xfId="0" applyFont="1" applyNumberFormat="1"/>
    <xf borderId="5" fillId="0" fontId="1" numFmtId="2" xfId="0" applyBorder="1" applyFont="1" applyNumberFormat="1"/>
    <xf borderId="15" fillId="0" fontId="1" numFmtId="2" xfId="0" applyBorder="1" applyFont="1" applyNumberFormat="1"/>
    <xf borderId="15" fillId="0" fontId="1" numFmtId="0" xfId="0" applyBorder="1" applyFont="1"/>
    <xf borderId="13" fillId="0" fontId="1" numFmtId="2" xfId="0" applyBorder="1" applyFont="1" applyNumberForma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shrinkToFit="0" wrapText="1"/>
    </xf>
    <xf borderId="0" fillId="0" fontId="3" numFmtId="0" xfId="0" applyFont="1"/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0.0"/>
    <col customWidth="1" min="3" max="3" width="24.0"/>
    <col customWidth="1" min="4" max="4" width="10.88"/>
    <col customWidth="1" min="5" max="5" width="24.63"/>
    <col customWidth="1" min="6" max="6" width="10.88"/>
    <col customWidth="1" min="7" max="7" width="11.13"/>
    <col customWidth="1" min="8" max="8" width="28.0"/>
    <col customWidth="1" min="9" max="12" width="18.75"/>
    <col customWidth="1" min="13" max="13" width="13.0"/>
  </cols>
  <sheetData>
    <row r="1">
      <c r="A1" s="1" t="s">
        <v>0</v>
      </c>
    </row>
    <row r="3">
      <c r="A3" s="1" t="s">
        <v>1</v>
      </c>
      <c r="I3" s="2">
        <f>I7*K23</f>
        <v>4200000</v>
      </c>
    </row>
    <row r="4">
      <c r="A4" s="1" t="s">
        <v>2</v>
      </c>
      <c r="I4" s="2">
        <f>I27</f>
        <v>4000000</v>
      </c>
    </row>
    <row r="5">
      <c r="C5" s="3" t="s">
        <v>3</v>
      </c>
    </row>
    <row r="6"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</row>
    <row r="7">
      <c r="A7" s="1" t="s">
        <v>15</v>
      </c>
      <c r="B7" s="5"/>
      <c r="C7" s="5"/>
      <c r="D7" s="5"/>
      <c r="E7" s="5"/>
      <c r="F7" s="5"/>
      <c r="G7" s="5"/>
      <c r="H7" s="5"/>
      <c r="I7" s="6">
        <f>IF($C$27=1, B43, IF($C$28=1, D43, IF($C$29=1, F43, I37)))</f>
        <v>3.2242</v>
      </c>
      <c r="J7" s="5"/>
      <c r="K7" s="5"/>
      <c r="L7" s="5"/>
    </row>
    <row r="8"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>
      <c r="A9" s="1" t="s">
        <v>16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>
      <c r="A10" s="1" t="s">
        <v>17</v>
      </c>
      <c r="B10" s="8">
        <v>333333.33</v>
      </c>
      <c r="C10" s="9"/>
      <c r="D10" s="9"/>
      <c r="E10" s="9"/>
      <c r="F10" s="9"/>
      <c r="G10" s="9"/>
      <c r="H10" s="9"/>
      <c r="I10" s="9"/>
      <c r="J10" s="10"/>
      <c r="K10" s="11">
        <f t="shared" ref="K10:K12" si="1">B10</f>
        <v>333333.33</v>
      </c>
      <c r="L10" s="12">
        <f t="shared" ref="L10:L12" si="2">K10/$K$23</f>
        <v>0.2558888863</v>
      </c>
    </row>
    <row r="11">
      <c r="A11" s="1" t="s">
        <v>18</v>
      </c>
      <c r="B11" s="13">
        <v>333333.33</v>
      </c>
      <c r="C11" s="9"/>
      <c r="D11" s="9"/>
      <c r="E11" s="9"/>
      <c r="F11" s="9"/>
      <c r="G11" s="9"/>
      <c r="H11" s="9"/>
      <c r="I11" s="9"/>
      <c r="J11" s="10"/>
      <c r="K11" s="11">
        <f t="shared" si="1"/>
        <v>333333.33</v>
      </c>
      <c r="L11" s="12">
        <f t="shared" si="2"/>
        <v>0.2558888863</v>
      </c>
    </row>
    <row r="12">
      <c r="A12" s="1" t="s">
        <v>19</v>
      </c>
      <c r="B12" s="14">
        <v>333333.34</v>
      </c>
      <c r="C12" s="9"/>
      <c r="D12" s="9"/>
      <c r="E12" s="9"/>
      <c r="F12" s="9"/>
      <c r="G12" s="9"/>
      <c r="H12" s="9"/>
      <c r="I12" s="9"/>
      <c r="J12" s="9"/>
      <c r="K12" s="11">
        <f t="shared" si="1"/>
        <v>333333.34</v>
      </c>
      <c r="L12" s="12">
        <f t="shared" si="2"/>
        <v>0.255888894</v>
      </c>
    </row>
    <row r="13">
      <c r="B13" s="15"/>
      <c r="C13" s="16"/>
      <c r="D13" s="16"/>
      <c r="E13" s="16"/>
      <c r="F13" s="16"/>
      <c r="G13" s="16"/>
      <c r="H13" s="16"/>
      <c r="I13" s="16"/>
      <c r="J13" s="16"/>
      <c r="K13" s="17"/>
      <c r="L13" s="7"/>
    </row>
    <row r="14">
      <c r="A14" s="1" t="s">
        <v>20</v>
      </c>
      <c r="B14" s="15"/>
      <c r="C14" s="16"/>
      <c r="D14" s="16"/>
      <c r="E14" s="16"/>
      <c r="F14" s="16"/>
      <c r="G14" s="16"/>
      <c r="H14" s="16"/>
      <c r="I14" s="16"/>
      <c r="J14" s="16"/>
      <c r="K14" s="17"/>
      <c r="L14" s="7"/>
    </row>
    <row r="15">
      <c r="A15" s="1" t="s">
        <v>21</v>
      </c>
      <c r="B15" s="15"/>
      <c r="C15" s="18">
        <v>100000.0</v>
      </c>
      <c r="D15" s="19">
        <v>0.2</v>
      </c>
      <c r="E15" s="20">
        <v>2.0</v>
      </c>
      <c r="F15" s="19">
        <v>0.08</v>
      </c>
      <c r="G15" s="18">
        <v>3000000.0</v>
      </c>
      <c r="H15" s="21">
        <f>FV(F15,E15,0,-C15)</f>
        <v>116640</v>
      </c>
      <c r="I15" s="22">
        <f>IF(G15&gt;0, IF(G15&lt;I27, IF(C27=1,B47, IF(C28=1, D47, IF(C29=1, F47, B49))), B49),B49)</f>
        <v>45811.70902</v>
      </c>
      <c r="J15" s="16"/>
      <c r="K15" s="23">
        <f>I15</f>
        <v>45811.70902</v>
      </c>
      <c r="L15" s="12">
        <f>K15/$K$23</f>
        <v>0.03516812195</v>
      </c>
    </row>
    <row r="16">
      <c r="A16" s="1"/>
      <c r="B16" s="15"/>
      <c r="C16" s="24"/>
      <c r="D16" s="16"/>
      <c r="E16" s="16"/>
      <c r="F16" s="16"/>
      <c r="G16" s="16"/>
      <c r="H16" s="16"/>
      <c r="I16" s="16"/>
      <c r="J16" s="16"/>
      <c r="K16" s="17"/>
      <c r="L16" s="7"/>
    </row>
    <row r="17">
      <c r="A17" s="1" t="s">
        <v>22</v>
      </c>
      <c r="B17" s="15"/>
      <c r="C17" s="16"/>
      <c r="D17" s="16"/>
      <c r="E17" s="16"/>
      <c r="F17" s="16"/>
      <c r="G17" s="16"/>
      <c r="H17" s="16"/>
      <c r="I17" s="16"/>
      <c r="J17" s="16"/>
      <c r="K17" s="7"/>
      <c r="L17" s="7"/>
    </row>
    <row r="18">
      <c r="A18" s="1" t="s">
        <v>23</v>
      </c>
      <c r="B18" s="25"/>
      <c r="C18" s="26"/>
      <c r="D18" s="26"/>
      <c r="E18" s="26"/>
      <c r="F18" s="26"/>
      <c r="G18" s="26"/>
      <c r="H18" s="27">
        <v>200000.0</v>
      </c>
      <c r="I18" s="28">
        <f>IF(C27=1, B41-I15, IF(C28=1, D41-I15, IF(C29=1, F41-I15, I35-I15)))</f>
        <v>61439.70219</v>
      </c>
      <c r="J18" s="16"/>
      <c r="K18" s="29">
        <f>I18</f>
        <v>61439.70219</v>
      </c>
      <c r="L18" s="12">
        <f>K18/$K$23</f>
        <v>0.04716521138</v>
      </c>
    </row>
    <row r="19">
      <c r="B19" s="21"/>
      <c r="C19" s="7"/>
      <c r="D19" s="7"/>
      <c r="E19" s="7"/>
      <c r="F19" s="7"/>
      <c r="G19" s="7"/>
      <c r="H19" s="7"/>
      <c r="I19" s="7"/>
      <c r="J19" s="7"/>
      <c r="K19" s="7"/>
      <c r="L19" s="12"/>
    </row>
    <row r="20">
      <c r="A20" s="1" t="s">
        <v>24</v>
      </c>
      <c r="B20" s="21"/>
      <c r="C20" s="7"/>
      <c r="D20" s="7"/>
      <c r="E20" s="7"/>
      <c r="F20" s="7"/>
      <c r="G20" s="7"/>
      <c r="H20" s="7"/>
      <c r="I20" s="7"/>
      <c r="J20" s="25"/>
      <c r="K20" s="7"/>
      <c r="L20" s="12"/>
    </row>
    <row r="21">
      <c r="A21" s="1" t="s">
        <v>25</v>
      </c>
      <c r="B21" s="21"/>
      <c r="C21" s="7"/>
      <c r="D21" s="7"/>
      <c r="E21" s="7"/>
      <c r="F21" s="7"/>
      <c r="G21" s="7"/>
      <c r="H21" s="7"/>
      <c r="I21" s="7"/>
      <c r="J21" s="25"/>
      <c r="K21" s="29">
        <f>IF($C$27=1, B42, IF($C$28=1, D42, IF($C$29=1, F42, I36)))</f>
        <v>195397.3079</v>
      </c>
      <c r="L21" s="12">
        <f>K21/$K$23</f>
        <v>0.15</v>
      </c>
    </row>
    <row r="22">
      <c r="B22" s="21"/>
      <c r="C22" s="7"/>
      <c r="D22" s="7"/>
      <c r="E22" s="7"/>
      <c r="F22" s="7"/>
      <c r="G22" s="7"/>
      <c r="H22" s="30"/>
      <c r="I22" s="7"/>
      <c r="J22" s="25"/>
      <c r="K22" s="30"/>
      <c r="L22" s="31"/>
    </row>
    <row r="23">
      <c r="B23" s="32">
        <f>sum(B10,B11,B12)</f>
        <v>1000000</v>
      </c>
      <c r="C23" s="33"/>
      <c r="D23" s="33"/>
      <c r="E23" s="33"/>
      <c r="F23" s="33"/>
      <c r="G23" s="33"/>
      <c r="H23" s="33">
        <f>sum(H7:H19)</f>
        <v>316640</v>
      </c>
      <c r="I23" s="34"/>
      <c r="J23" s="34"/>
      <c r="K23" s="35">
        <f>SUM(K10:K21)</f>
        <v>1302648.719</v>
      </c>
      <c r="L23" s="36">
        <f>sum(L10:L21)</f>
        <v>1</v>
      </c>
    </row>
    <row r="25">
      <c r="B25" s="37" t="s">
        <v>26</v>
      </c>
      <c r="E25" s="37"/>
      <c r="F25" s="37"/>
      <c r="G25" s="37"/>
      <c r="H25" s="37" t="s">
        <v>27</v>
      </c>
    </row>
    <row r="26">
      <c r="C26" s="1"/>
      <c r="D26" s="1"/>
      <c r="E26" s="1"/>
      <c r="F26" s="1"/>
      <c r="G26" s="1"/>
      <c r="H26" s="38" t="s">
        <v>28</v>
      </c>
      <c r="I26" s="39">
        <f>B23</f>
        <v>1000000</v>
      </c>
    </row>
    <row r="27">
      <c r="A27" s="1" t="s">
        <v>29</v>
      </c>
      <c r="B27" s="1" t="s">
        <v>30</v>
      </c>
      <c r="C27" s="40">
        <v>0.0</v>
      </c>
      <c r="D27" s="1"/>
      <c r="E27" s="1"/>
      <c r="F27" s="1"/>
      <c r="G27" s="1"/>
      <c r="H27" s="41" t="s">
        <v>2</v>
      </c>
      <c r="I27" s="18">
        <v>4000000.0</v>
      </c>
    </row>
    <row r="28">
      <c r="A28" s="1" t="s">
        <v>31</v>
      </c>
      <c r="B28" s="1" t="s">
        <v>32</v>
      </c>
      <c r="C28" s="40">
        <v>1.0</v>
      </c>
      <c r="D28" s="1"/>
      <c r="E28" s="1"/>
      <c r="F28" s="1"/>
      <c r="G28" s="1"/>
      <c r="H28" s="41" t="s">
        <v>33</v>
      </c>
      <c r="I28" s="42">
        <f>F34</f>
        <v>345800</v>
      </c>
    </row>
    <row r="29">
      <c r="A29" s="1" t="s">
        <v>34</v>
      </c>
      <c r="B29" s="1" t="s">
        <v>35</v>
      </c>
      <c r="C29" s="40">
        <v>0.0</v>
      </c>
      <c r="D29" s="1"/>
      <c r="E29" s="1"/>
      <c r="F29" s="1"/>
      <c r="G29" s="1"/>
      <c r="H29" s="41" t="s">
        <v>1</v>
      </c>
      <c r="I29" s="43">
        <f>sum(I27:I28)</f>
        <v>4345800</v>
      </c>
    </row>
    <row r="30">
      <c r="C30" s="1"/>
      <c r="D30" s="1"/>
      <c r="E30" s="1"/>
      <c r="F30" s="1"/>
      <c r="G30" s="1"/>
      <c r="H30" s="41" t="s">
        <v>36</v>
      </c>
      <c r="I30" s="12">
        <f>I28/I29</f>
        <v>0.07957108012</v>
      </c>
    </row>
    <row r="31">
      <c r="A31" s="44" t="s">
        <v>37</v>
      </c>
      <c r="B31" s="45"/>
      <c r="C31" s="46" t="s">
        <v>32</v>
      </c>
      <c r="D31" s="45"/>
      <c r="E31" s="46" t="s">
        <v>35</v>
      </c>
      <c r="F31" s="47"/>
      <c r="G31" s="1"/>
      <c r="H31" s="41" t="s">
        <v>38</v>
      </c>
      <c r="I31" s="19">
        <v>0.15</v>
      </c>
    </row>
    <row r="32">
      <c r="A32" s="41" t="s">
        <v>28</v>
      </c>
      <c r="B32" s="48">
        <f t="shared" ref="B32:B33" si="3">I26</f>
        <v>1000000</v>
      </c>
      <c r="C32" s="41" t="s">
        <v>28</v>
      </c>
      <c r="D32" s="49">
        <f t="shared" ref="D32:D33" si="4">I26</f>
        <v>1000000</v>
      </c>
      <c r="E32" s="41" t="s">
        <v>28</v>
      </c>
      <c r="F32" s="49">
        <f t="shared" ref="F32:F33" si="5">I26</f>
        <v>1000000</v>
      </c>
      <c r="G32" s="1"/>
      <c r="H32" s="41" t="s">
        <v>39</v>
      </c>
      <c r="I32" s="12">
        <f>1-I30-I31</f>
        <v>0.7704289199</v>
      </c>
    </row>
    <row r="33">
      <c r="A33" s="41" t="s">
        <v>2</v>
      </c>
      <c r="B33" s="43">
        <f t="shared" si="3"/>
        <v>4000000</v>
      </c>
      <c r="C33" s="41" t="s">
        <v>2</v>
      </c>
      <c r="D33" s="43">
        <f t="shared" si="4"/>
        <v>4000000</v>
      </c>
      <c r="E33" s="41" t="s">
        <v>2</v>
      </c>
      <c r="F33" s="50">
        <f t="shared" si="5"/>
        <v>4000000</v>
      </c>
      <c r="G33" s="1"/>
      <c r="H33" s="41" t="s">
        <v>40</v>
      </c>
      <c r="I33" s="51">
        <f>I26/I32</f>
        <v>1297978.274</v>
      </c>
    </row>
    <row r="34">
      <c r="A34" s="41" t="s">
        <v>33</v>
      </c>
      <c r="B34" s="48">
        <f>$H$18+($H$15/(1-$D$15))</f>
        <v>345800</v>
      </c>
      <c r="C34" s="41" t="s">
        <v>33</v>
      </c>
      <c r="D34" s="48">
        <f>$H$18+($H$15/(1-$D$15))</f>
        <v>345800</v>
      </c>
      <c r="E34" s="41" t="s">
        <v>33</v>
      </c>
      <c r="F34" s="48">
        <f>$H$18+($H$15/(1-$D$15))</f>
        <v>345800</v>
      </c>
      <c r="G34" s="1"/>
      <c r="H34" s="41" t="s">
        <v>41</v>
      </c>
      <c r="I34" s="51">
        <f>I32*I33</f>
        <v>1000000</v>
      </c>
    </row>
    <row r="35">
      <c r="A35" s="41" t="s">
        <v>1</v>
      </c>
      <c r="B35" s="43">
        <f>B33+B34</f>
        <v>4345800</v>
      </c>
      <c r="C35" s="41" t="s">
        <v>1</v>
      </c>
      <c r="D35" s="50">
        <f>D33+H18</f>
        <v>4200000</v>
      </c>
      <c r="E35" s="41" t="s">
        <v>1</v>
      </c>
      <c r="F35" s="50">
        <f>F33+H23</f>
        <v>4316640</v>
      </c>
      <c r="G35" s="1"/>
      <c r="H35" s="41" t="s">
        <v>42</v>
      </c>
      <c r="I35" s="51">
        <f>I30*I33</f>
        <v>103281.5333</v>
      </c>
    </row>
    <row r="36">
      <c r="A36" s="41" t="s">
        <v>36</v>
      </c>
      <c r="B36" s="12">
        <f>B34/B35</f>
        <v>0.07957108012</v>
      </c>
      <c r="C36" s="41" t="s">
        <v>36</v>
      </c>
      <c r="D36" s="12">
        <f>D34/D35</f>
        <v>0.08233333333</v>
      </c>
      <c r="E36" s="41" t="s">
        <v>36</v>
      </c>
      <c r="F36" s="12">
        <f>F34/F35</f>
        <v>0.08010860299</v>
      </c>
      <c r="G36" s="1"/>
      <c r="H36" s="41" t="s">
        <v>43</v>
      </c>
      <c r="I36" s="51">
        <f>I31*I33</f>
        <v>194696.7412</v>
      </c>
    </row>
    <row r="37">
      <c r="A37" s="41" t="s">
        <v>38</v>
      </c>
      <c r="B37" s="52">
        <f>I31</f>
        <v>0.15</v>
      </c>
      <c r="C37" s="41" t="s">
        <v>38</v>
      </c>
      <c r="D37" s="53">
        <f>I31</f>
        <v>0.15</v>
      </c>
      <c r="E37" s="41" t="s">
        <v>38</v>
      </c>
      <c r="F37" s="53">
        <f>I31</f>
        <v>0.15</v>
      </c>
      <c r="G37" s="1"/>
      <c r="H37" s="54" t="s">
        <v>44</v>
      </c>
      <c r="I37" s="55">
        <f>I28/I35</f>
        <v>3.34813</v>
      </c>
    </row>
    <row r="38">
      <c r="A38" s="41" t="s">
        <v>39</v>
      </c>
      <c r="B38" s="12">
        <f>1-B36-B37</f>
        <v>0.7704289199</v>
      </c>
      <c r="C38" s="41" t="s">
        <v>39</v>
      </c>
      <c r="D38" s="12">
        <f>1-D36-D37</f>
        <v>0.7676666667</v>
      </c>
      <c r="E38" s="41" t="s">
        <v>39</v>
      </c>
      <c r="F38" s="12">
        <f>1-F36-F37</f>
        <v>0.769891397</v>
      </c>
    </row>
    <row r="39">
      <c r="A39" s="41" t="s">
        <v>40</v>
      </c>
      <c r="B39" s="43">
        <f>B32/B38</f>
        <v>1297978.274</v>
      </c>
      <c r="C39" s="41" t="s">
        <v>40</v>
      </c>
      <c r="D39" s="43">
        <f>D32/D38</f>
        <v>1302648.719</v>
      </c>
      <c r="E39" s="41" t="s">
        <v>40</v>
      </c>
      <c r="F39" s="43">
        <f>F32/F38</f>
        <v>1298884.497</v>
      </c>
    </row>
    <row r="40">
      <c r="A40" s="41" t="s">
        <v>41</v>
      </c>
      <c r="B40" s="43">
        <f>B38*B39</f>
        <v>1000000</v>
      </c>
      <c r="C40" s="41" t="s">
        <v>41</v>
      </c>
      <c r="D40" s="43">
        <f>D38*D39</f>
        <v>1000000</v>
      </c>
      <c r="E40" s="41" t="s">
        <v>41</v>
      </c>
      <c r="F40" s="43">
        <f>F38*F39</f>
        <v>1000000</v>
      </c>
    </row>
    <row r="41">
      <c r="A41" s="41" t="s">
        <v>42</v>
      </c>
      <c r="B41" s="48">
        <f>B36*B39</f>
        <v>103281.5333</v>
      </c>
      <c r="C41" s="41" t="s">
        <v>42</v>
      </c>
      <c r="D41" s="48">
        <f>D36*D39</f>
        <v>107251.4112</v>
      </c>
      <c r="E41" s="41" t="s">
        <v>42</v>
      </c>
      <c r="F41" s="48">
        <f>F36*F39</f>
        <v>104051.8225</v>
      </c>
    </row>
    <row r="42">
      <c r="A42" s="41" t="s">
        <v>43</v>
      </c>
      <c r="B42" s="48">
        <f>B37*B39</f>
        <v>194696.7412</v>
      </c>
      <c r="C42" s="41" t="s">
        <v>43</v>
      </c>
      <c r="D42" s="48">
        <f>D37*D39</f>
        <v>195397.3079</v>
      </c>
      <c r="E42" s="41" t="s">
        <v>43</v>
      </c>
      <c r="F42" s="48">
        <f>F37*F39</f>
        <v>194832.6746</v>
      </c>
    </row>
    <row r="43">
      <c r="A43" s="54" t="s">
        <v>44</v>
      </c>
      <c r="B43" s="56">
        <f>B34/B41</f>
        <v>3.34813</v>
      </c>
      <c r="C43" s="54" t="s">
        <v>44</v>
      </c>
      <c r="D43" s="56">
        <f>D34/D41</f>
        <v>3.2242</v>
      </c>
      <c r="E43" s="54" t="s">
        <v>44</v>
      </c>
      <c r="F43" s="56">
        <f>F34/F41</f>
        <v>3.323344</v>
      </c>
    </row>
    <row r="45">
      <c r="A45" s="44" t="s">
        <v>45</v>
      </c>
      <c r="B45" s="45"/>
      <c r="C45" s="45"/>
      <c r="D45" s="45"/>
      <c r="E45" s="45"/>
      <c r="F45" s="47"/>
    </row>
    <row r="46">
      <c r="A46" s="38" t="s">
        <v>46</v>
      </c>
      <c r="B46" s="57">
        <f>$H$15/($G$15+$H$23)*C27</f>
        <v>0</v>
      </c>
      <c r="C46" s="58"/>
      <c r="D46" s="57">
        <f>$H$15/($G$15+$H$23)*C28</f>
        <v>0.03516812195</v>
      </c>
      <c r="E46" s="58"/>
      <c r="F46" s="59">
        <f>$H$15/($G$15+$H$23)*C29</f>
        <v>0</v>
      </c>
    </row>
    <row r="47">
      <c r="A47" s="41" t="s">
        <v>47</v>
      </c>
      <c r="B47" s="60">
        <f>B46*B39</f>
        <v>0</v>
      </c>
      <c r="D47" s="60">
        <f>D46*D39</f>
        <v>45811.70902</v>
      </c>
      <c r="F47" s="61">
        <f>F46*F39</f>
        <v>0</v>
      </c>
    </row>
    <row r="48">
      <c r="A48" s="41" t="s">
        <v>48</v>
      </c>
      <c r="B48" s="60">
        <f>(1-$D$15)*B43</f>
        <v>2.678504</v>
      </c>
      <c r="D48" s="60"/>
      <c r="F48" s="61"/>
    </row>
    <row r="49">
      <c r="A49" s="54" t="s">
        <v>49</v>
      </c>
      <c r="B49" s="62">
        <f>$H$15/$B$48</f>
        <v>43546.69622</v>
      </c>
      <c r="C49" s="63"/>
      <c r="D49" s="62"/>
      <c r="E49" s="63"/>
      <c r="F49" s="64"/>
    </row>
  </sheetData>
  <mergeCells count="7">
    <mergeCell ref="C5:G5"/>
    <mergeCell ref="B25:D25"/>
    <mergeCell ref="H25:I25"/>
    <mergeCell ref="A31:B31"/>
    <mergeCell ref="C31:D31"/>
    <mergeCell ref="E31:F31"/>
    <mergeCell ref="A45:F4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150.13"/>
  </cols>
  <sheetData>
    <row r="1">
      <c r="A1" s="65" t="s">
        <v>50</v>
      </c>
      <c r="B1" s="66"/>
      <c r="C1" s="67"/>
    </row>
    <row r="2">
      <c r="A2" s="65" t="s">
        <v>51</v>
      </c>
      <c r="B2" s="68" t="s">
        <v>52</v>
      </c>
      <c r="C2" s="65" t="s">
        <v>53</v>
      </c>
    </row>
    <row r="3">
      <c r="B3" s="69"/>
    </row>
    <row r="4">
      <c r="B4" s="69"/>
    </row>
    <row r="5">
      <c r="B5" s="69"/>
    </row>
    <row r="6">
      <c r="B6" s="69"/>
    </row>
    <row r="7">
      <c r="B7" s="69"/>
    </row>
    <row r="8">
      <c r="B8" s="69"/>
    </row>
    <row r="9">
      <c r="B9" s="69"/>
    </row>
    <row r="10">
      <c r="B10" s="69"/>
    </row>
    <row r="11">
      <c r="B11" s="69"/>
    </row>
    <row r="12">
      <c r="B12" s="69"/>
    </row>
    <row r="13">
      <c r="B13" s="69"/>
    </row>
    <row r="14">
      <c r="B14" s="69"/>
    </row>
    <row r="15">
      <c r="B15" s="69"/>
    </row>
    <row r="16">
      <c r="B16" s="69"/>
    </row>
    <row r="17">
      <c r="B17" s="69"/>
    </row>
    <row r="18">
      <c r="B18" s="69"/>
    </row>
    <row r="19">
      <c r="B19" s="69"/>
    </row>
    <row r="20">
      <c r="B20" s="69"/>
    </row>
    <row r="21">
      <c r="B21" s="69"/>
    </row>
    <row r="22">
      <c r="B22" s="69"/>
    </row>
    <row r="23">
      <c r="B23" s="69"/>
    </row>
    <row r="24">
      <c r="B24" s="69"/>
    </row>
    <row r="25">
      <c r="B25" s="69"/>
    </row>
    <row r="26">
      <c r="B26" s="69"/>
    </row>
    <row r="27">
      <c r="B27" s="69"/>
    </row>
    <row r="28">
      <c r="B28" s="69"/>
    </row>
    <row r="29">
      <c r="B29" s="69"/>
    </row>
    <row r="30">
      <c r="B30" s="69"/>
    </row>
    <row r="31">
      <c r="B31" s="69"/>
    </row>
    <row r="32">
      <c r="B32" s="69"/>
    </row>
    <row r="33">
      <c r="B33" s="69"/>
    </row>
    <row r="34">
      <c r="B34" s="69"/>
    </row>
    <row r="35">
      <c r="B35" s="69"/>
    </row>
    <row r="36">
      <c r="B36" s="69"/>
    </row>
    <row r="37">
      <c r="B37" s="69"/>
    </row>
    <row r="38">
      <c r="B38" s="69"/>
    </row>
    <row r="39">
      <c r="B39" s="69"/>
    </row>
    <row r="40">
      <c r="B40" s="69"/>
    </row>
    <row r="41">
      <c r="B41" s="69"/>
    </row>
    <row r="42">
      <c r="B42" s="69"/>
    </row>
    <row r="43">
      <c r="B43" s="69"/>
    </row>
    <row r="44">
      <c r="B44" s="69"/>
    </row>
    <row r="45">
      <c r="B45" s="69"/>
    </row>
    <row r="46">
      <c r="B46" s="69"/>
    </row>
    <row r="47">
      <c r="B47" s="69"/>
    </row>
    <row r="48">
      <c r="B48" s="69"/>
    </row>
    <row r="49">
      <c r="B49" s="69"/>
    </row>
    <row r="50">
      <c r="B50" s="69"/>
    </row>
    <row r="51">
      <c r="B51" s="69"/>
    </row>
    <row r="52">
      <c r="B52" s="69"/>
    </row>
    <row r="53">
      <c r="B53" s="69"/>
    </row>
    <row r="54">
      <c r="B54" s="69"/>
    </row>
    <row r="55">
      <c r="B55" s="69"/>
    </row>
    <row r="56">
      <c r="B56" s="69"/>
    </row>
    <row r="57">
      <c r="B57" s="69"/>
    </row>
    <row r="58">
      <c r="B58" s="69"/>
    </row>
    <row r="59">
      <c r="B59" s="69"/>
    </row>
    <row r="60">
      <c r="B60" s="69"/>
    </row>
    <row r="61">
      <c r="B61" s="69"/>
    </row>
    <row r="62">
      <c r="B62" s="69"/>
    </row>
    <row r="63">
      <c r="B63" s="69"/>
    </row>
    <row r="64">
      <c r="B64" s="69"/>
    </row>
    <row r="65">
      <c r="B65" s="69"/>
    </row>
    <row r="66">
      <c r="B66" s="69"/>
    </row>
    <row r="67">
      <c r="B67" s="69"/>
    </row>
    <row r="68">
      <c r="B68" s="69"/>
    </row>
    <row r="69">
      <c r="B69" s="69"/>
    </row>
    <row r="70">
      <c r="B70" s="69"/>
    </row>
    <row r="71">
      <c r="B71" s="69"/>
    </row>
    <row r="72">
      <c r="B72" s="69"/>
    </row>
    <row r="73">
      <c r="B73" s="69"/>
    </row>
    <row r="74">
      <c r="B74" s="69"/>
    </row>
    <row r="75">
      <c r="B75" s="69"/>
    </row>
    <row r="76">
      <c r="B76" s="69"/>
    </row>
    <row r="77">
      <c r="B77" s="69"/>
    </row>
    <row r="78">
      <c r="B78" s="69"/>
    </row>
    <row r="79">
      <c r="B79" s="69"/>
    </row>
    <row r="80">
      <c r="B80" s="69"/>
    </row>
    <row r="81">
      <c r="B81" s="69"/>
    </row>
    <row r="82">
      <c r="B82" s="69"/>
    </row>
    <row r="83">
      <c r="B83" s="69"/>
    </row>
    <row r="84">
      <c r="B84" s="69"/>
    </row>
    <row r="85">
      <c r="B85" s="69"/>
    </row>
    <row r="86">
      <c r="B86" s="69"/>
    </row>
    <row r="87">
      <c r="B87" s="69"/>
    </row>
    <row r="88">
      <c r="B88" s="69"/>
    </row>
    <row r="89">
      <c r="B89" s="69"/>
    </row>
    <row r="90">
      <c r="B90" s="69"/>
    </row>
    <row r="91">
      <c r="B91" s="69"/>
    </row>
    <row r="92">
      <c r="B92" s="69"/>
    </row>
    <row r="93">
      <c r="B93" s="69"/>
    </row>
    <row r="94">
      <c r="B94" s="69"/>
    </row>
    <row r="95">
      <c r="B95" s="69"/>
    </row>
    <row r="96">
      <c r="B96" s="69"/>
    </row>
    <row r="97">
      <c r="B97" s="69"/>
    </row>
    <row r="98">
      <c r="B98" s="69"/>
    </row>
    <row r="99">
      <c r="B99" s="69"/>
    </row>
    <row r="100">
      <c r="B100" s="69"/>
    </row>
  </sheetData>
  <drawing r:id="rId1"/>
</worksheet>
</file>